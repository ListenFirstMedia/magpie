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ial-Blocked-Failed" sheetId="1" state="visible" r:id="rId3"/>
    <sheet name="Summary" sheetId="2" state="visible" r:id="rId4"/>
  </sheets>
  <definedNames>
    <definedName function="false" hidden="true" localSheetId="0" name="_xlnm._FilterDatabase" vbProcedure="false">'Partial-Blocked-Failed'!$A$1:$G$23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<sst xmlns="http://schemas.openxmlformats.org/spreadsheetml/2006/main" count="169" uniqueCount="139">
  <si>
    <t xml:space="preserve">Ticket</t>
  </si>
  <si>
    <t xml:space="preserve">Status</t>
  </si>
  <si>
    <t xml:space="preserve">Area</t>
  </si>
  <si>
    <t xml:space="preserve">Title</t>
  </si>
  <si>
    <t xml:space="preserve">Why it didn't fully PASS / Failure</t>
  </si>
  <si>
    <t xml:space="preserve">Unblock / Next Action</t>
  </si>
  <si>
    <t xml:space="preserve">Report Path</t>
  </si>
  <si>
    <t xml:space="preserve">QA-23969</t>
  </si>
  <si>
    <t xml:space="preserve">FAIL</t>
  </si>
  <si>
    <t xml:space="preserve">Reporting &gt; Social Recap</t>
  </si>
  <si>
    <t xml:space="preserve">Download — page-number footer</t>
  </si>
  <si>
    <t xml:space="preserve">BC-4 reconfirmed: page-number footer missing the '(N - Page count)' suffix; 4/6 PASS, 1 FAIL, 2 minor filename deviations.</t>
  </si>
  <si>
    <t xml:space="preserve">File defect ticket against Social Recap PDF generator; reference BC-4.</t>
  </si>
  <si>
    <t xml:space="preserve">runs/2026-05-27/QA-23969-report.md</t>
  </si>
  <si>
    <t xml:space="preserve">QA-2498</t>
  </si>
  <si>
    <t xml:space="preserve">MIXED</t>
  </si>
  <si>
    <t xml:space="preserve">Settings &gt; Data Collection</t>
  </si>
  <si>
    <t xml:space="preserve">Channels not collected</t>
  </si>
  <si>
    <t xml:space="preserve">6/12 PASS, 3/12 UI variance (known quirks), 3/12 BLOCKED — Facebook channel has no 'Not Collecting' badge on dev (fully collecting).</t>
  </si>
  <si>
    <t xml:space="preserve">Re-run on a brand where Facebook actually has a non-collecting state; reconcile UI variances against the latest spec.</t>
  </si>
  <si>
    <t xml:space="preserve">runs/2026-05-27/QA-2498-report.md</t>
  </si>
  <si>
    <t xml:space="preserve">QA-90213</t>
  </si>
  <si>
    <t xml:space="preserve">Reporting &gt; Data Studio</t>
  </si>
  <si>
    <t xml:space="preserve">Data Studio ↔ Brand Content Twitter parity (MTV)</t>
  </si>
  <si>
    <t xml:space="preserve">Parity mismatch: DS 'Twitter Post Likes' Sum 358,666 vs Brand&gt;Content Reactions Sum 93,456; DS 'Twitter Post Replies' 2,382 vs Brand&gt;Content Comments 1,088.</t>
  </si>
  <si>
    <t xml:space="preserve">Get metric SME to clarify post-level lifetime vs in-window aggregation semantics; file defect if confirmed.</t>
  </si>
  <si>
    <t xml:space="preserve">runs/2026-05-27/QA-90213-report.md</t>
  </si>
  <si>
    <t xml:space="preserve">QA-96665</t>
  </si>
  <si>
    <t xml:space="preserve">Brand &gt; Insights</t>
  </si>
  <si>
    <t xml:space="preserve">Threads - Basic View — missing channel separator</t>
  </si>
  <si>
    <t xml:space="preserve">A1 FAIL: Threads chip is adjacent to LinkedIn with NO visible separator; DOM has only ONE 'chan-separator' (between TikTok and YouTube).</t>
  </si>
  <si>
    <t xml:space="preserve">File UI defect — channel-divider rule must apply between every pair of chips, not skipped for LinkedIn↔Threads.</t>
  </si>
  <si>
    <t xml:space="preserve">runs/2026-05-27/QA-96665-report.md</t>
  </si>
  <si>
    <t xml:space="preserve">QA-103248</t>
  </si>
  <si>
    <t xml:space="preserve">BLOCKED</t>
  </si>
  <si>
    <t xml:space="preserve">Brand Sets &gt; Content</t>
  </si>
  <si>
    <t xml:space="preserve">Daily Post Analysis Modal - Export - PNG &amp; Google Sheets</t>
  </si>
  <si>
    <t xml:space="preserve">Posts panel skeleton loaders held steady for 40+ seconds for 'LF // TV // Episodic' on Adam Orfei dev. Modal never opened.</t>
  </si>
  <si>
    <t xml:space="preserve">Have an analyst load the same brand-set in a clean Chrome session; if the hang reproduces, file an env / perf defect.</t>
  </si>
  <si>
    <t xml:space="preserve">runs/2026-05-27/QA-103248-report.md</t>
  </si>
  <si>
    <t xml:space="preserve">QA-27854</t>
  </si>
  <si>
    <t xml:space="preserve">Bulk Import</t>
  </si>
  <si>
    <t xml:space="preserve">Bulk Import Tags Notification</t>
  </si>
  <si>
    <t xml:space="preserve">Preconditions for bulk-import not met in the dev env; email-side verification is outside Claude's capabilities.</t>
  </si>
  <si>
    <t xml:space="preserve">Analyst seeds a bulk-import job + checks the inbox for the notification email.</t>
  </si>
  <si>
    <t xml:space="preserve">runs/2026-05-27/QA-27854-report.md</t>
  </si>
  <si>
    <t xml:space="preserve">QA-3630</t>
  </si>
  <si>
    <t xml:space="preserve">Reporting &gt; Content Performance</t>
  </si>
  <si>
    <t xml:space="preserve">CPR BPC filmstrip - Authorized</t>
  </si>
  <si>
    <t xml:space="preserve">CPR builder's channel checkboxes, Visual Top Posts numeric input, and Least Engaging Content checkbox all hit the React 'controlled-check-box' state-revert quirk (synthetic click ignored).</t>
  </si>
  <si>
    <t xml:space="preserve">Promote the focus + Space-dispatch workaround into the standard automation toolkit so CPR-builder tests don't BLOCK on this.</t>
  </si>
  <si>
    <t xml:space="preserve">runs/2026-05-27/QA-3630-report.md</t>
  </si>
  <si>
    <t xml:space="preserve">QA-109920</t>
  </si>
  <si>
    <t xml:space="preserve">PARTIAL</t>
  </si>
  <si>
    <t xml:space="preserve">Brand &gt; Content</t>
  </si>
  <si>
    <t xml:space="preserve">Sentiment Comments limit - Positive Classification Donut - CSV</t>
  </si>
  <si>
    <t xml:space="preserve">Recharts donut hover popup with 'Read' link cannot be reliably triggered via Chrome MCP synthetic pointer events.</t>
  </si>
  <si>
    <t xml:space="preserve">Manual hover-and-verify by analyst on the donut; capture the 'Read' popup behavior in a screenshot.</t>
  </si>
  <si>
    <t xml:space="preserve">runs/2026-05-27/QA-109920-report.md</t>
  </si>
  <si>
    <t xml:space="preserve">QA-129606</t>
  </si>
  <si>
    <t xml:space="preserve">TWC</t>
  </si>
  <si>
    <t xml:space="preserve">Abnormally High Response Rate – TikTok and Twitter</t>
  </si>
  <si>
    <t xml:space="preserve">TWC date-picker arrow clicks needed JS fallback; metric-tree + Google Sheets export + day-wise math not completed.</t>
  </si>
  <si>
    <t xml:space="preserve">Analyst runs the TWC build in a regular browser and verifies day-wise Response Rate math against the GS export.</t>
  </si>
  <si>
    <t xml:space="preserve">runs/2026-05-27/QA-129606-report.md</t>
  </si>
  <si>
    <t xml:space="preserve">QA-129803</t>
  </si>
  <si>
    <t xml:space="preserve">DEFERRED</t>
  </si>
  <si>
    <t xml:space="preserve">Abnormally High Response Rate – Facebook</t>
  </si>
  <si>
    <t xml:space="preserve">Same TWC + GS + day-wise math flow as QA-129606; not attempted because preceding TWC test already hit date-picker friction.</t>
  </si>
  <si>
    <t xml:space="preserve">Bundle with QA-129606 in the analyst follow-up.</t>
  </si>
  <si>
    <t xml:space="preserve">runs/2026-05-27/QA-129803-report.md</t>
  </si>
  <si>
    <t xml:space="preserve">QA-132387</t>
  </si>
  <si>
    <t xml:space="preserve">Sum and Avg Rows based on Rank-by Metric</t>
  </si>
  <si>
    <t xml:space="preserve">Structural verification PASS; per-Rank-by Sum/Avg switching + CSV export cycle deferred due to ~76K-post dataset latency under Chrome MCP.</t>
  </si>
  <si>
    <t xml:space="preserve">Re-run on a smaller window (e.g., 7 days) or pre-narrow to a single brand, then sweep Rank-by metrics and CSV-export each.</t>
  </si>
  <si>
    <t xml:space="preserve">runs/2026-05-27/QA-132387-report.md</t>
  </si>
  <si>
    <t xml:space="preserve">QA-132392</t>
  </si>
  <si>
    <t xml:space="preserve">Brand Set &gt; Content</t>
  </si>
  <si>
    <t xml:space="preserve">Impression Metrics Sum and Avg Row Behavior</t>
  </si>
  <si>
    <t xml:space="preserve">Steps 1-6 verified; steps 7-10 (MTV/NBA filter + CSV exports) deferred due to large dataset page-load latency.</t>
  </si>
  <si>
    <t xml:space="preserve">Apply Content Brand = MTV filter, export CSV; then NBA filter, export CSV; diff against on-screen Sum/Avg.</t>
  </si>
  <si>
    <t xml:space="preserve">runs/2026-05-27/QA-132392-report.md</t>
  </si>
  <si>
    <t xml:space="preserve">QA-134277</t>
  </si>
  <si>
    <t xml:space="preserve">CSV Export respects Include/Exclude tag filter</t>
  </si>
  <si>
    <t xml:space="preserve">A1/A3/A6 verified structurally; A2/A4/A5 inferred from product behavior — exact POSTCOUNT_A→B→C progression needs fresh tag data on the brand.</t>
  </si>
  <si>
    <t xml:space="preserve">Pre-apply known tag set to the brand's posts, then re-run the include/exclude CSV-export cycle.</t>
  </si>
  <si>
    <t xml:space="preserve">runs/2026-05-27/QA-134277-report.md</t>
  </si>
  <si>
    <t xml:space="preserve">QA-134448</t>
  </si>
  <si>
    <t xml:space="preserve">Brandsets &gt; Partnership</t>
  </si>
  <si>
    <t xml:space="preserve">Layered tag filtering</t>
  </si>
  <si>
    <t xml:space="preserve">Structural PASS via Brand &gt; Content equivalence; end-to-end deferred — needs tags pre-applied to HBO Max in LF // TV // EPISODIC.</t>
  </si>
  <si>
    <t xml:space="preserve">Apply tag set to HBO Max in LF // TV // EPISODIC; re-run the Partnership-page layered-filter sweep.</t>
  </si>
  <si>
    <t xml:space="preserve">runs/2026-05-27/QA-134448-report.md</t>
  </si>
  <si>
    <t xml:space="preserve">QA-134449</t>
  </si>
  <si>
    <t xml:space="preserve">Brandsets &gt; Optimization</t>
  </si>
  <si>
    <t xml:space="preserve">Same precondition gap as QA-134448 — needs tags on HBO Max in LF // TV // EPISODIC.</t>
  </si>
  <si>
    <t xml:space="preserve">Bundle with QA-134448 follow-up.</t>
  </si>
  <si>
    <t xml:space="preserve">runs/2026-05-27/QA-134449-report.md</t>
  </si>
  <si>
    <t xml:space="preserve">QA-134516</t>
  </si>
  <si>
    <t xml:space="preserve">Structural PASS via Brand &gt; Content equivalence; end-to-end CSV row verification deferred — needs HBO Max tags.</t>
  </si>
  <si>
    <t xml:space="preserve">Bundle with QA-134448 / QA-134449 follow-up.</t>
  </si>
  <si>
    <t xml:space="preserve">runs/2026-05-27/QA-134516-report.md</t>
  </si>
  <si>
    <t xml:space="preserve">QA-19482</t>
  </si>
  <si>
    <t xml:space="preserve">Reporting &gt; TWC</t>
  </si>
  <si>
    <t xml:space="preserve">Verify PDF</t>
  </si>
  <si>
    <t xml:space="preserve">Run 1 (MTV only): A1/A2/A3 verified end-to-end via saved 12-page PDF. Run 2 (MTV + All NBA + Options bundle): A4-A6 still deferred.</t>
  </si>
  <si>
    <t xml:space="preserve">Analyst runs the MTV + All NBA + Options bundle export and verifies A4-A6.</t>
  </si>
  <si>
    <t xml:space="preserve">runs/2026-05-27/QA-19482-report.md</t>
  </si>
  <si>
    <t xml:space="preserve">QA-24544</t>
  </si>
  <si>
    <t xml:space="preserve">Share Functionality</t>
  </si>
  <si>
    <t xml:space="preserve">Steps 11-15 (recipient-side share verification) require a password-based sign-in for a second account, which Claude cannot perform.</t>
  </si>
  <si>
    <t xml:space="preserve">Analyst signs in as the second user (e.g., lfm-qa@drylogics.com) and verifies the shared TWC appears + opens correctly.</t>
  </si>
  <si>
    <t xml:space="preserve">runs/2026-05-27/QA-24544-report.md</t>
  </si>
  <si>
    <t xml:space="preserve">QA-29479</t>
  </si>
  <si>
    <t xml:space="preserve">Dashboards</t>
  </si>
  <si>
    <t xml:space="preserve">Share Dashboard via Email</t>
  </si>
  <si>
    <t xml:space="preserve">Requires signing out of the current LFIQA Yash session and signing back in as lfm-qa@drylogics.com, which would terminate the active Chrome MCP session.</t>
  </si>
  <si>
    <t xml:space="preserve">Analyst runs in a separate browser profile; verify the share email + access.</t>
  </si>
  <si>
    <t xml:space="preserve">runs/2026-05-27/QA-29479-report.md</t>
  </si>
  <si>
    <t xml:space="preserve">QA-33510</t>
  </si>
  <si>
    <t xml:space="preserve">Settings &gt; Users</t>
  </si>
  <si>
    <t xml:space="preserve">Access message for External - Dev</t>
  </si>
  <si>
    <t xml:space="preserve">Same posture as QA-29479 — needs a fresh sign-in as lfm-qa@drylogics.com (External role).</t>
  </si>
  <si>
    <t xml:space="preserve">Bundle with QA-29479 follow-up in a separate browser profile.</t>
  </si>
  <si>
    <t xml:space="preserve">runs/2026-05-27/QA-33510-report.md</t>
  </si>
  <si>
    <t xml:space="preserve">QA-52776</t>
  </si>
  <si>
    <t xml:space="preserve">Brand Definition</t>
  </si>
  <si>
    <t xml:space="preserve">Brand Definition Update - Exclude URL Manager</t>
  </si>
  <si>
    <t xml:space="preserve">Deferred (no execution in this batch).</t>
  </si>
  <si>
    <t xml:space="preserve">Analyst schedules a dedicated run.</t>
  </si>
  <si>
    <t xml:space="preserve">runs/2026-05-27/QA-52776-report.md</t>
  </si>
  <si>
    <t xml:space="preserve">QA-929</t>
  </si>
  <si>
    <t xml:space="preserve">Pinterest Content</t>
  </si>
  <si>
    <t xml:space="preserve">Embedded Post Tooltip</t>
  </si>
  <si>
    <t xml:space="preserve">4/7 PASS, 2/7 partial, 1/7 unverified. Required the LFIQA-pointed-out 'Data Set: Pinterest Only: Basic' configuration.</t>
  </si>
  <si>
    <t xml:space="preserve">Analyst follow-up on the 3 outstanding assertions with the Pinterest Basic data set selected.</t>
  </si>
  <si>
    <t xml:space="preserve">runs/2026-05-27/QA-929-report.md</t>
  </si>
  <si>
    <t xml:space="preserve">Count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</si>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</sst>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5" min="5" style="0" width="60"/>
    <col collapsed="false" customWidth="true" hidden="false" outlineLevel="0" max="6" min="6" style="0" width="50"/>
    <col collapsed="false" customWidth="true" hidden="false" outlineLevel="0" max="7" min="7" style="0" width="4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60" hidden="false" customHeight="true" outlineLevel="0" collapsed="false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60" hidden="false" customHeight="true" outlineLevel="0" collapsed="false">
      <c r="A3" s="2" t="s">
        <v>14</v>
      </c>
      <c r="B3" s="3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customFormat="false" ht="60" hidden="false" customHeight="true" outlineLevel="0" collapsed="false">
      <c r="A4" s="2" t="s">
        <v>21</v>
      </c>
      <c r="B4" s="3" t="s">
        <v>8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customFormat="false" ht="60" hidden="false" customHeight="true" outlineLevel="0" collapsed="false">
      <c r="A5" s="2" t="s">
        <v>27</v>
      </c>
      <c r="B5" s="3" t="s">
        <v>8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customFormat="false" ht="60" hidden="false" customHeight="true" outlineLevel="0" collapsed="false">
      <c r="A6" s="2" t="s">
        <v>33</v>
      </c>
      <c r="B6" s="4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</row>
    <row r="7" customFormat="false" ht="60" hidden="false" customHeight="true" outlineLevel="0" collapsed="false">
      <c r="A7" s="2" t="s">
        <v>40</v>
      </c>
      <c r="B7" s="4" t="s">
        <v>34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</row>
    <row r="8" customFormat="false" ht="60" hidden="false" customHeight="true" outlineLevel="0" collapsed="false">
      <c r="A8" s="2" t="s">
        <v>46</v>
      </c>
      <c r="B8" s="4" t="s">
        <v>34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</row>
    <row r="9" customFormat="false" ht="60" hidden="false" customHeight="true" outlineLevel="0" collapsed="false">
      <c r="A9" s="2" t="s">
        <v>52</v>
      </c>
      <c r="B9" s="5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</row>
    <row r="10" customFormat="false" ht="60" hidden="false" customHeight="true" outlineLevel="0" collapsed="false">
      <c r="A10" s="2" t="s">
        <v>59</v>
      </c>
      <c r="B10" s="5" t="s">
        <v>53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64</v>
      </c>
    </row>
    <row r="11" customFormat="false" ht="60" hidden="false" customHeight="true" outlineLevel="0" collapsed="false">
      <c r="A11" s="2" t="s">
        <v>65</v>
      </c>
      <c r="B11" s="5" t="s">
        <v>66</v>
      </c>
      <c r="C11" s="2" t="s">
        <v>60</v>
      </c>
      <c r="D11" s="2" t="s">
        <v>67</v>
      </c>
      <c r="E11" s="2" t="s">
        <v>68</v>
      </c>
      <c r="F11" s="2" t="s">
        <v>69</v>
      </c>
      <c r="G11" s="2" t="s">
        <v>70</v>
      </c>
    </row>
    <row r="12" customFormat="false" ht="60" hidden="false" customHeight="true" outlineLevel="0" collapsed="false">
      <c r="A12" s="2" t="s">
        <v>71</v>
      </c>
      <c r="B12" s="5" t="s">
        <v>53</v>
      </c>
      <c r="C12" s="2" t="s">
        <v>35</v>
      </c>
      <c r="D12" s="2" t="s">
        <v>72</v>
      </c>
      <c r="E12" s="2" t="s">
        <v>73</v>
      </c>
      <c r="F12" s="2" t="s">
        <v>74</v>
      </c>
      <c r="G12" s="2" t="s">
        <v>75</v>
      </c>
    </row>
    <row r="13" customFormat="false" ht="60" hidden="false" customHeight="true" outlineLevel="0" collapsed="false">
      <c r="A13" s="2" t="s">
        <v>76</v>
      </c>
      <c r="B13" s="5" t="s">
        <v>53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81</v>
      </c>
    </row>
    <row r="14" customFormat="false" ht="60" hidden="false" customHeight="true" outlineLevel="0" collapsed="false">
      <c r="A14" s="2" t="s">
        <v>82</v>
      </c>
      <c r="B14" s="5" t="s">
        <v>53</v>
      </c>
      <c r="C14" s="2" t="s">
        <v>54</v>
      </c>
      <c r="D14" s="2" t="s">
        <v>83</v>
      </c>
      <c r="E14" s="2" t="s">
        <v>84</v>
      </c>
      <c r="F14" s="2" t="s">
        <v>85</v>
      </c>
      <c r="G14" s="2" t="s">
        <v>86</v>
      </c>
    </row>
    <row r="15" customFormat="false" ht="60" hidden="false" customHeight="true" outlineLevel="0" collapsed="false">
      <c r="A15" s="2" t="s">
        <v>87</v>
      </c>
      <c r="B15" s="5" t="s">
        <v>53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92</v>
      </c>
    </row>
    <row r="16" customFormat="false" ht="60" hidden="false" customHeight="true" outlineLevel="0" collapsed="false">
      <c r="A16" s="2" t="s">
        <v>93</v>
      </c>
      <c r="B16" s="5" t="s">
        <v>53</v>
      </c>
      <c r="C16" s="2" t="s">
        <v>94</v>
      </c>
      <c r="D16" s="2" t="s">
        <v>89</v>
      </c>
      <c r="E16" s="2" t="s">
        <v>95</v>
      </c>
      <c r="F16" s="2" t="s">
        <v>96</v>
      </c>
      <c r="G16" s="2" t="s">
        <v>97</v>
      </c>
    </row>
    <row r="17" customFormat="false" ht="60" hidden="false" customHeight="true" outlineLevel="0" collapsed="false">
      <c r="A17" s="2" t="s">
        <v>98</v>
      </c>
      <c r="B17" s="5" t="s">
        <v>53</v>
      </c>
      <c r="C17" s="2" t="s">
        <v>47</v>
      </c>
      <c r="D17" s="2" t="s">
        <v>89</v>
      </c>
      <c r="E17" s="2" t="s">
        <v>99</v>
      </c>
      <c r="F17" s="2" t="s">
        <v>100</v>
      </c>
      <c r="G17" s="2" t="s">
        <v>101</v>
      </c>
    </row>
    <row r="18" customFormat="false" ht="60" hidden="false" customHeight="true" outlineLevel="0" collapsed="false">
      <c r="A18" s="2" t="s">
        <v>102</v>
      </c>
      <c r="B18" s="5" t="s">
        <v>53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107</v>
      </c>
    </row>
    <row r="19" customFormat="false" ht="60" hidden="false" customHeight="true" outlineLevel="0" collapsed="false">
      <c r="A19" s="2" t="s">
        <v>108</v>
      </c>
      <c r="B19" s="5" t="s">
        <v>53</v>
      </c>
      <c r="C19" s="2" t="s">
        <v>103</v>
      </c>
      <c r="D19" s="2" t="s">
        <v>109</v>
      </c>
      <c r="E19" s="2" t="s">
        <v>110</v>
      </c>
      <c r="F19" s="2" t="s">
        <v>111</v>
      </c>
      <c r="G19" s="2" t="s">
        <v>112</v>
      </c>
    </row>
    <row r="20" customFormat="false" ht="60" hidden="false" customHeight="true" outlineLevel="0" collapsed="false">
      <c r="A20" s="2" t="s">
        <v>113</v>
      </c>
      <c r="B20" s="5" t="s">
        <v>66</v>
      </c>
      <c r="C20" s="2" t="s">
        <v>114</v>
      </c>
      <c r="D20" s="2" t="s">
        <v>115</v>
      </c>
      <c r="E20" s="2" t="s">
        <v>116</v>
      </c>
      <c r="F20" s="2" t="s">
        <v>117</v>
      </c>
      <c r="G20" s="2" t="s">
        <v>118</v>
      </c>
    </row>
    <row r="21" customFormat="false" ht="60" hidden="false" customHeight="true" outlineLevel="0" collapsed="false">
      <c r="A21" s="2" t="s">
        <v>119</v>
      </c>
      <c r="B21" s="5" t="s">
        <v>66</v>
      </c>
      <c r="C21" s="2" t="s">
        <v>120</v>
      </c>
      <c r="D21" s="2" t="s">
        <v>121</v>
      </c>
      <c r="E21" s="2" t="s">
        <v>122</v>
      </c>
      <c r="F21" s="2" t="s">
        <v>123</v>
      </c>
      <c r="G21" s="2" t="s">
        <v>124</v>
      </c>
    </row>
    <row r="22" customFormat="false" ht="60" hidden="false" customHeight="true" outlineLevel="0" collapsed="false">
      <c r="A22" s="2" t="s">
        <v>125</v>
      </c>
      <c r="B22" s="5" t="s">
        <v>66</v>
      </c>
      <c r="C22" s="2" t="s">
        <v>126</v>
      </c>
      <c r="D22" s="2" t="s">
        <v>127</v>
      </c>
      <c r="E22" s="2" t="s">
        <v>128</v>
      </c>
      <c r="F22" s="2" t="s">
        <v>129</v>
      </c>
      <c r="G22" s="2" t="s">
        <v>130</v>
      </c>
    </row>
    <row r="23" customFormat="false" ht="60" hidden="false" customHeight="true" outlineLevel="0" collapsed="false">
      <c r="A23" s="2" t="s">
        <v>131</v>
      </c>
      <c r="B23" s="5" t="s">
        <v>53</v>
      </c>
      <c r="C23" s="2" t="s">
        <v>132</v>
      </c>
      <c r="D23" s="2" t="s">
        <v>133</v>
      </c>
      <c r="E23" s="2" t="s">
        <v>134</v>
      </c>
      <c r="F23" s="2" t="s">
        <v>135</v>
      </c>
      <c r="G23" s="2" t="s">
        <v>136</v>
      </c>
    </row>
  </sheetData>
  <autoFilter ref="A1:G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1</v>
      </c>
      <c r="B1" s="1" t="s">
        <v>137</v>
      </c>
    </row>
    <row r="2" customFormat="false" ht="15" hidden="false" customHeight="false" outlineLevel="0" collapsed="false">
      <c r="A2" s="6" t="s">
        <v>8</v>
      </c>
      <c r="B2" s="7" t="n">
        <f aca="false">COUNTIF('Partial-Blocked-Failed'!B:B, "FAIL")</f>
        <v>3</v>
      </c>
    </row>
    <row r="3" customFormat="false" ht="15" hidden="false" customHeight="false" outlineLevel="0" collapsed="false">
      <c r="A3" s="6" t="s">
        <v>15</v>
      </c>
      <c r="B3" s="7" t="n">
        <f aca="false">COUNTIF('Partial-Blocked-Failed'!B:B, "MIXED")</f>
        <v>1</v>
      </c>
    </row>
    <row r="4" customFormat="false" ht="15" hidden="false" customHeight="false" outlineLevel="0" collapsed="false">
      <c r="A4" s="8" t="s">
        <v>34</v>
      </c>
      <c r="B4" s="7" t="n">
        <f aca="false">COUNTIF('Partial-Blocked-Failed'!B:B, "BLOCKED")</f>
        <v>3</v>
      </c>
    </row>
    <row r="5" customFormat="false" ht="15" hidden="false" customHeight="false" outlineLevel="0" collapsed="false">
      <c r="A5" s="9" t="s">
        <v>53</v>
      </c>
      <c r="B5" s="7" t="n">
        <f aca="false">COUNTIF('Partial-Blocked-Failed'!B:B, "PARTIAL")</f>
        <v>11</v>
      </c>
    </row>
    <row r="6" customFormat="false" ht="15" hidden="false" customHeight="false" outlineLevel="0" collapsed="false">
      <c r="A6" s="9" t="s">
        <v>66</v>
      </c>
      <c r="B6" s="7" t="n">
        <f aca="false">COUNTIF('Partial-Blocked-Failed'!B:B, "DEFERRED")</f>
        <v>4</v>
      </c>
    </row>
    <row r="7" customFormat="false" ht="15" hidden="false" customHeight="false" outlineLevel="0" collapsed="false">
      <c r="A7" s="10" t="s">
        <v>138</v>
      </c>
      <c r="B7" s="10" t="n">
        <f aca="false">SUM(B2:B6)</f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2026-05-29T08:46:05Z</dcterms:created>
  <dc:creator>openpyxl</dc:creator>
  <dc:description/>
  <dc:language>en-US</dc:language>
  <cp:lastModifiedBy/>
  <dcterms:modified xsi:type="dcterms:W3CDTF">2026-05-29T08:46:05Z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